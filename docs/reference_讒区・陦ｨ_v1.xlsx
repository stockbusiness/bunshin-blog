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案件スロット" sheetId="2" state="visible" r:id="rId4"/>
    <sheet name="構成表" sheetId="3" state="visible" r:id="rId5"/>
    <sheet name="制約チェック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<sst xmlns="http://schemas.openxmlformats.org/spreadsheetml/2006/main" count="285" uniqueCount="215">
  <si>
    <r>
      <rPr>
        <b val="true"/>
        <sz val="13"/>
        <color rgb="FF1F3864"/>
        <rFont val="Arial"/>
        <family val="0"/>
        <charset val="1"/>
      </rPr>
      <t xml:space="preserve">Bunshin Blog </t>
    </r>
    <r>
      <rPr>
        <b val="true"/>
        <sz val="13"/>
        <color rgb="FF1F3864"/>
        <rFont val="Noto Sans CJK SC"/>
        <family val="2"/>
      </rPr>
      <t xml:space="preserve">サイト設計 構成表（手動作成 第</t>
    </r>
    <r>
      <rPr>
        <b val="true"/>
        <sz val="13"/>
        <color rgb="FF1F3864"/>
        <rFont val="Arial"/>
        <family val="0"/>
        <charset val="1"/>
      </rPr>
      <t xml:space="preserve">1</t>
    </r>
    <r>
      <rPr>
        <b val="true"/>
        <sz val="13"/>
        <color rgb="FF1F3864"/>
        <rFont val="Noto Sans CJK SC"/>
        <family val="2"/>
      </rPr>
      <t xml:space="preserve">版）</t>
    </r>
  </si>
  <si>
    <t xml:space="preserve">対象ジャンル</t>
  </si>
  <si>
    <t xml:space="preserve">実店舗（飲食店）向け業務ツール比較</t>
  </si>
  <si>
    <t xml:space="preserve">サイト数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</si>
  <si>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サイト／記事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本（収益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本＋集客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本）</t>
    </r>
  </si>
  <si>
    <t xml:space="preserve">作成日</t>
  </si>
  <si>
    <t xml:space="preserve">2026-08-06</t>
  </si>
  <si>
    <t xml:space="preserve">この表の位置づけ</t>
  </si>
  <si>
    <r>
      <rPr>
        <sz val="10"/>
        <rFont val="Arial"/>
        <family val="0"/>
        <charset val="1"/>
      </rPr>
      <t xml:space="preserve">M1</t>
    </r>
    <r>
      <rPr>
        <sz val="10"/>
        <rFont val="Noto Sans CJK SC"/>
        <family val="2"/>
      </rPr>
      <t xml:space="preserve">（構成表ジェネレーター）を実装する前に、手作業で</t>
    </r>
    <r>
      <rPr>
        <sz val="10"/>
        <rFont val="Arial"/>
        <family val="0"/>
        <charset val="1"/>
      </rPr>
      <t xml:space="preserve">STEP1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回通すためのもの。</t>
    </r>
  </si>
  <si>
    <r>
      <rPr>
        <sz val="10"/>
        <rFont val="Noto Sans CJK SC"/>
        <family val="2"/>
      </rPr>
      <t xml:space="preserve">ここで詰まった箇所が、そのまま</t>
    </r>
    <r>
      <rPr>
        <sz val="10"/>
        <rFont val="Arial"/>
        <family val="0"/>
        <charset val="1"/>
      </rPr>
      <t xml:space="preserve">M1</t>
    </r>
    <r>
      <rPr>
        <sz val="10"/>
        <rFont val="Noto Sans CJK SC"/>
        <family val="2"/>
      </rPr>
      <t xml:space="preserve">の仕様とテストケースになる。</t>
    </r>
  </si>
  <si>
    <t xml:space="preserve">記入が必要なセル</t>
  </si>
  <si>
    <t xml:space="preserve">黄色塗り＝必ず埋める／青文字＝入力値（差し替え可）</t>
  </si>
  <si>
    <t xml:space="preserve">作業手順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</si>
  <si>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「案件スロット」タブの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案件を、実際の</t>
    </r>
    <r>
      <rPr>
        <sz val="10"/>
        <rFont val="Arial"/>
        <family val="0"/>
        <charset val="1"/>
      </rPr>
      <t xml:space="preserve">ASP</t>
    </r>
    <r>
      <rPr>
        <sz val="10"/>
        <rFont val="Noto Sans CJK SC"/>
        <family val="2"/>
      </rPr>
      <t xml:space="preserve">案件で確定させる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</si>
  <si>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案件が変わる場合は「構成表」タブのタイトル・キーワードを合わせて修正する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</si>
  <si>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収益記事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本を先に公開（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週目）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</si>
  <si>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集客記事を週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本ずつ公開（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週目以降）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</si>
  <si>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公開日・インデックス日・順位を記録し、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日ゲートで判定する</t>
    </r>
  </si>
  <si>
    <r>
      <rPr>
        <sz val="10"/>
        <rFont val="Noto Sans CJK SC"/>
        <family val="2"/>
      </rPr>
      <t xml:space="preserve">設計ルール（変更する場合は</t>
    </r>
    <r>
      <rPr>
        <sz val="10"/>
        <rFont val="Arial"/>
        <family val="0"/>
        <charset val="1"/>
      </rPr>
      <t xml:space="preserve">M1</t>
    </r>
    <r>
      <rPr>
        <sz val="10"/>
        <rFont val="Noto Sans CJK SC"/>
        <family val="2"/>
      </rPr>
      <t xml:space="preserve">の仕様も直す）</t>
    </r>
  </si>
  <si>
    <t xml:space="preserve">収益記事数</t>
  </si>
  <si>
    <r>
      <rPr>
        <sz val="10"/>
        <rFont val="Noto Sans CJK SC"/>
        <family val="2"/>
      </rPr>
      <t xml:space="preserve">採用案件数 </t>
    </r>
    <r>
      <rPr>
        <sz val="10"/>
        <rFont val="Arial"/>
        <family val="0"/>
        <charset val="1"/>
      </rPr>
      <t xml:space="preserve">× 2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（比較記事）／上限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本</t>
    </r>
  </si>
  <si>
    <t xml:space="preserve">集客記事から収益記事へのリンク</t>
  </si>
  <si>
    <r>
      <rPr>
        <sz val="10"/>
        <rFont val="Noto Sans CJK SC"/>
        <family val="2"/>
      </rPr>
      <t xml:space="preserve">各収益記事に最低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本を集める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</si>
  <si>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つの集客記事がリンクする収益記事</t>
    </r>
  </si>
  <si>
    <r>
      <rPr>
        <sz val="10"/>
        <rFont val="Noto Sans CJK SC"/>
        <family val="2"/>
      </rPr>
      <t xml:space="preserve">最大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</t>
    </r>
  </si>
  <si>
    <t xml:space="preserve">収益記事どうしのリンク</t>
  </si>
  <si>
    <t xml:space="preserve">張らない（回遊させず成果に流す）</t>
  </si>
  <si>
    <t xml:space="preserve">公開ペース</t>
  </si>
  <si>
    <r>
      <rPr>
        <sz val="10"/>
        <rFont val="Noto Sans CJK SC"/>
        <family val="2"/>
      </rPr>
      <t xml:space="preserve">週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本まで（大量生成と判定されないため）</t>
    </r>
  </si>
  <si>
    <t xml:space="preserve">キーワード重複</t>
  </si>
  <si>
    <r>
      <rPr>
        <sz val="10"/>
        <rFont val="Noto Sans CJK SC"/>
        <family val="2"/>
      </rPr>
      <t xml:space="preserve">禁止（同一キーワードで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記事作らない）</t>
    </r>
  </si>
  <si>
    <t xml:space="preserve">スロット</t>
  </si>
  <si>
    <t xml:space="preserve">想定カテゴリ</t>
  </si>
  <si>
    <t xml:space="preserve">案件名（要記入）</t>
  </si>
  <si>
    <r>
      <rPr>
        <b val="true"/>
        <sz val="10"/>
        <color rgb="FFFFFFFF"/>
        <rFont val="Arial"/>
        <family val="0"/>
        <charset val="1"/>
      </rPr>
      <t xml:space="preserve">ASP</t>
    </r>
    <r>
      <rPr>
        <b val="true"/>
        <sz val="10"/>
        <color rgb="FFFFFFFF"/>
        <rFont val="Noto Sans CJK SC"/>
        <family val="2"/>
      </rPr>
      <t xml:space="preserve">（要記入）</t>
    </r>
  </si>
  <si>
    <t xml:space="preserve">報酬額（要記入）</t>
  </si>
  <si>
    <t xml:space="preserve">成果地点</t>
  </si>
  <si>
    <r>
      <rPr>
        <b val="true"/>
        <sz val="10"/>
        <color rgb="FFFFFFFF"/>
        <rFont val="Noto Sans CJK SC"/>
        <family val="2"/>
      </rPr>
      <t xml:space="preserve">成果地点スコア</t>
    </r>
    <r>
      <rPr>
        <b val="true"/>
        <sz val="10"/>
        <color rgb="FFFFFFFF"/>
        <rFont val="Arial"/>
        <family val="0"/>
        <charset val="1"/>
      </rPr>
      <t xml:space="preserve">(30)</t>
    </r>
  </si>
  <si>
    <r>
      <rPr>
        <b val="true"/>
        <sz val="10"/>
        <color rgb="FFFFFFFF"/>
        <rFont val="Noto Sans CJK SC"/>
        <family val="2"/>
      </rPr>
      <t xml:space="preserve">報酬額</t>
    </r>
    <r>
      <rPr>
        <b val="true"/>
        <sz val="10"/>
        <color rgb="FFFFFFFF"/>
        <rFont val="Arial"/>
        <family val="0"/>
        <charset val="1"/>
      </rPr>
      <t xml:space="preserve">(20)</t>
    </r>
  </si>
  <si>
    <r>
      <rPr>
        <b val="true"/>
        <sz val="10"/>
        <color rgb="FFFFFFFF"/>
        <rFont val="Arial"/>
        <family val="0"/>
        <charset val="1"/>
      </rPr>
      <t xml:space="preserve">LP</t>
    </r>
    <r>
      <rPr>
        <b val="true"/>
        <sz val="10"/>
        <color rgb="FFFFFFFF"/>
        <rFont val="Noto Sans CJK SC"/>
        <family val="2"/>
      </rPr>
      <t xml:space="preserve">の質</t>
    </r>
    <r>
      <rPr>
        <b val="true"/>
        <sz val="10"/>
        <color rgb="FFFFFFFF"/>
        <rFont val="Arial"/>
        <family val="0"/>
        <charset val="1"/>
      </rPr>
      <t xml:space="preserve">(20)</t>
    </r>
  </si>
  <si>
    <r>
      <rPr>
        <b val="true"/>
        <sz val="10"/>
        <color rgb="FFFFFFFF"/>
        <rFont val="Noto Sans CJK SC"/>
        <family val="2"/>
      </rPr>
      <t xml:space="preserve">検索需要</t>
    </r>
    <r>
      <rPr>
        <b val="true"/>
        <sz val="10"/>
        <color rgb="FFFFFFFF"/>
        <rFont val="Arial"/>
        <family val="0"/>
        <charset val="1"/>
      </rPr>
      <t xml:space="preserve">(15)</t>
    </r>
  </si>
  <si>
    <r>
      <rPr>
        <b val="true"/>
        <sz val="10"/>
        <color rgb="FFFFFFFF"/>
        <rFont val="Noto Sans CJK SC"/>
        <family val="2"/>
      </rPr>
      <t xml:space="preserve">利用経験</t>
    </r>
    <r>
      <rPr>
        <b val="true"/>
        <sz val="10"/>
        <color rgb="FFFFFFFF"/>
        <rFont val="Arial"/>
        <family val="0"/>
        <charset val="1"/>
      </rPr>
      <t xml:space="preserve">(10)</t>
    </r>
  </si>
  <si>
    <r>
      <rPr>
        <b val="true"/>
        <sz val="10"/>
        <color rgb="FFFFFFFF"/>
        <rFont val="Noto Sans CJK SC"/>
        <family val="2"/>
      </rPr>
      <t xml:space="preserve">否認条件</t>
    </r>
    <r>
      <rPr>
        <b val="true"/>
        <sz val="10"/>
        <color rgb="FFFFFFFF"/>
        <rFont val="Arial"/>
        <family val="0"/>
        <charset val="1"/>
      </rPr>
      <t xml:space="preserve">(5)</t>
    </r>
  </si>
  <si>
    <t xml:space="preserve">合計</t>
  </si>
  <si>
    <t xml:space="preserve">A</t>
  </si>
  <si>
    <t xml:space="preserve">予約管理システム</t>
  </si>
  <si>
    <t xml:space="preserve">無料登録・無料プラン申込</t>
  </si>
  <si>
    <t xml:space="preserve">B</t>
  </si>
  <si>
    <t xml:space="preserve">モバイルオーダー／セルフオーダー</t>
  </si>
  <si>
    <t xml:space="preserve">資料請求・無料デモ申込</t>
  </si>
  <si>
    <t xml:space="preserve">C</t>
  </si>
  <si>
    <r>
      <rPr>
        <sz val="10"/>
        <rFont val="Arial"/>
        <family val="0"/>
        <charset val="1"/>
      </rPr>
      <t xml:space="preserve">MEO</t>
    </r>
    <r>
      <rPr>
        <sz val="10"/>
        <rFont val="Noto Sans CJK SC"/>
        <family val="2"/>
      </rPr>
      <t xml:space="preserve">・店舗集客ツール</t>
    </r>
  </si>
  <si>
    <t xml:space="preserve">資料請求・無料診断申込</t>
  </si>
  <si>
    <t xml:space="preserve">記入例（この行は削除してよい）</t>
  </si>
  <si>
    <t xml:space="preserve">例</t>
  </si>
  <si>
    <r>
      <rPr>
        <i val="true"/>
        <sz val="9"/>
        <color rgb="FF808080"/>
        <rFont val="Noto Sans CJK SC"/>
        <family val="2"/>
      </rPr>
      <t xml:space="preserve">○○予約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無料プラン</t>
    </r>
    <r>
      <rPr>
        <i val="true"/>
        <sz val="9"/>
        <color rgb="FF808080"/>
        <rFont val="Arial"/>
        <family val="0"/>
        <charset val="1"/>
      </rPr>
      <t xml:space="preserve">)</t>
    </r>
  </si>
  <si>
    <t xml:space="preserve">A8.net</t>
  </si>
  <si>
    <r>
      <rPr>
        <i val="true"/>
        <sz val="9"/>
        <color rgb="FF808080"/>
        <rFont val="Arial"/>
        <family val="0"/>
        <charset val="1"/>
      </rPr>
      <t xml:space="preserve">1,500</t>
    </r>
    <r>
      <rPr>
        <i val="true"/>
        <sz val="9"/>
        <color rgb="FF808080"/>
        <rFont val="Noto Sans CJK SC"/>
        <family val="2"/>
      </rPr>
      <t xml:space="preserve">円</t>
    </r>
  </si>
  <si>
    <t xml:space="preserve">無料プラン登録</t>
  </si>
  <si>
    <r>
      <rPr>
        <sz val="9"/>
        <rFont val="Noto Sans CJK SC"/>
        <family val="2"/>
      </rPr>
      <t xml:space="preserve">採用基準：合計</t>
    </r>
    <r>
      <rPr>
        <sz val="9"/>
        <rFont val="Arial"/>
        <family val="0"/>
        <charset val="1"/>
      </rPr>
      <t xml:space="preserve">60</t>
    </r>
    <r>
      <rPr>
        <sz val="9"/>
        <rFont val="Noto Sans CJK SC"/>
        <family val="2"/>
      </rPr>
      <t xml:space="preserve">点未満しか無い場合はジャンルごと</t>
    </r>
    <r>
      <rPr>
        <sz val="9"/>
        <rFont val="Arial"/>
        <family val="0"/>
        <charset val="1"/>
      </rPr>
      <t xml:space="preserve">STEP1</t>
    </r>
    <r>
      <rPr>
        <sz val="9"/>
        <rFont val="Noto Sans CJK SC"/>
        <family val="2"/>
      </rPr>
      <t xml:space="preserve">に差し戻す</t>
    </r>
  </si>
  <si>
    <r>
      <rPr>
        <sz val="9"/>
        <rFont val="Noto Sans CJK SC"/>
        <family val="2"/>
      </rPr>
      <t xml:space="preserve">足切り：掲載終了／購入必須かつ単価</t>
    </r>
    <r>
      <rPr>
        <sz val="9"/>
        <rFont val="Arial"/>
        <family val="0"/>
        <charset val="1"/>
      </rPr>
      <t xml:space="preserve">3,000</t>
    </r>
    <r>
      <rPr>
        <sz val="9"/>
        <rFont val="Noto Sans CJK SC"/>
        <family val="2"/>
      </rPr>
      <t xml:space="preserve">円未満／否認条件</t>
    </r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つ以上／</t>
    </r>
    <r>
      <rPr>
        <sz val="9"/>
        <rFont val="Arial"/>
        <family val="0"/>
        <charset val="1"/>
      </rPr>
      <t xml:space="preserve">LP</t>
    </r>
    <r>
      <rPr>
        <sz val="9"/>
        <rFont val="Noto Sans CJK SC"/>
        <family val="2"/>
      </rPr>
      <t xml:space="preserve">スマホ非対応／ブログ掲載禁止</t>
    </r>
  </si>
  <si>
    <r>
      <rPr>
        <sz val="9"/>
        <rFont val="Noto Sans CJK SC"/>
        <family val="2"/>
      </rPr>
      <t xml:space="preserve">追加足切り：無料登録型でも単価</t>
    </r>
    <r>
      <rPr>
        <sz val="9"/>
        <rFont val="Arial"/>
        <family val="0"/>
        <charset val="1"/>
      </rPr>
      <t xml:space="preserve">800</t>
    </r>
    <r>
      <rPr>
        <sz val="9"/>
        <rFont val="Noto Sans CJK SC"/>
        <family val="2"/>
      </rPr>
      <t xml:space="preserve">円未満は除外（成果は出るが収益にならないため）</t>
    </r>
  </si>
  <si>
    <r>
      <rPr>
        <sz val="9"/>
        <rFont val="Arial"/>
        <family val="0"/>
        <charset val="1"/>
      </rPr>
      <t xml:space="preserve">LP</t>
    </r>
    <r>
      <rPr>
        <sz val="9"/>
        <rFont val="Noto Sans CJK SC"/>
        <family val="2"/>
      </rPr>
      <t xml:space="preserve">の質の判定：フォーム項目</t>
    </r>
    <r>
      <rPr>
        <sz val="9"/>
        <rFont val="Arial"/>
        <family val="0"/>
        <charset val="1"/>
      </rPr>
      <t xml:space="preserve">5</t>
    </r>
    <r>
      <rPr>
        <sz val="9"/>
        <rFont val="Noto Sans CJK SC"/>
        <family val="2"/>
      </rPr>
      <t xml:space="preserve">個以下</t>
    </r>
    <r>
      <rPr>
        <sz val="9"/>
        <rFont val="Arial"/>
        <family val="0"/>
        <charset val="1"/>
      </rPr>
      <t xml:space="preserve">=20</t>
    </r>
    <r>
      <rPr>
        <sz val="9"/>
        <rFont val="Noto Sans CJK SC"/>
        <family val="2"/>
      </rPr>
      <t xml:space="preserve">点／</t>
    </r>
    <r>
      <rPr>
        <sz val="9"/>
        <rFont val="Arial"/>
        <family val="0"/>
        <charset val="1"/>
      </rPr>
      <t xml:space="preserve">6</t>
    </r>
    <r>
      <rPr>
        <sz val="9"/>
        <rFont val="Noto Sans CJK SC"/>
        <family val="2"/>
      </rPr>
      <t xml:space="preserve">〜</t>
    </r>
    <r>
      <rPr>
        <sz val="9"/>
        <rFont val="Arial"/>
        <family val="0"/>
        <charset val="1"/>
      </rPr>
      <t xml:space="preserve">10</t>
    </r>
    <r>
      <rPr>
        <sz val="9"/>
        <rFont val="Noto Sans CJK SC"/>
        <family val="2"/>
      </rPr>
      <t xml:space="preserve">個</t>
    </r>
    <r>
      <rPr>
        <sz val="9"/>
        <rFont val="Arial"/>
        <family val="0"/>
        <charset val="1"/>
      </rPr>
      <t xml:space="preserve">=10</t>
    </r>
    <r>
      <rPr>
        <sz val="9"/>
        <rFont val="Noto Sans CJK SC"/>
        <family val="2"/>
      </rPr>
      <t xml:space="preserve">点／</t>
    </r>
    <r>
      <rPr>
        <sz val="9"/>
        <rFont val="Arial"/>
        <family val="0"/>
        <charset val="1"/>
      </rPr>
      <t xml:space="preserve">11</t>
    </r>
    <r>
      <rPr>
        <sz val="9"/>
        <rFont val="Noto Sans CJK SC"/>
        <family val="2"/>
      </rPr>
      <t xml:space="preserve">個以上</t>
    </r>
    <r>
      <rPr>
        <sz val="9"/>
        <rFont val="Arial"/>
        <family val="0"/>
        <charset val="1"/>
      </rPr>
      <t xml:space="preserve">=0</t>
    </r>
    <r>
      <rPr>
        <sz val="9"/>
        <rFont val="Noto Sans CJK SC"/>
        <family val="2"/>
      </rPr>
      <t xml:space="preserve">点</t>
    </r>
  </si>
  <si>
    <r>
      <rPr>
        <sz val="9"/>
        <rFont val="Noto Sans CJK SC"/>
        <family val="2"/>
      </rPr>
      <t xml:space="preserve">成果地点スコア：無料登録</t>
    </r>
    <r>
      <rPr>
        <sz val="9"/>
        <rFont val="Arial"/>
        <family val="0"/>
        <charset val="1"/>
      </rPr>
      <t xml:space="preserve">30</t>
    </r>
    <r>
      <rPr>
        <sz val="9"/>
        <rFont val="Noto Sans CJK SC"/>
        <family val="2"/>
      </rPr>
      <t xml:space="preserve">／資料請求</t>
    </r>
    <r>
      <rPr>
        <sz val="9"/>
        <rFont val="Arial"/>
        <family val="0"/>
        <charset val="1"/>
      </rPr>
      <t xml:space="preserve">20</t>
    </r>
    <r>
      <rPr>
        <sz val="9"/>
        <rFont val="Noto Sans CJK SC"/>
        <family val="2"/>
      </rPr>
      <t xml:space="preserve">／無料体験</t>
    </r>
    <r>
      <rPr>
        <sz val="9"/>
        <rFont val="Arial"/>
        <family val="0"/>
        <charset val="1"/>
      </rPr>
      <t xml:space="preserve">15</t>
    </r>
    <r>
      <rPr>
        <sz val="9"/>
        <rFont val="Noto Sans CJK SC"/>
        <family val="2"/>
      </rPr>
      <t xml:space="preserve">／購入</t>
    </r>
    <r>
      <rPr>
        <sz val="9"/>
        <rFont val="Arial"/>
        <family val="0"/>
        <charset val="1"/>
      </rPr>
      <t xml:space="preserve">10</t>
    </r>
  </si>
  <si>
    <t xml:space="preserve">No</t>
  </si>
  <si>
    <t xml:space="preserve">種別</t>
  </si>
  <si>
    <t xml:space="preserve">想定タイトル</t>
  </si>
  <si>
    <t xml:space="preserve">狙うキーワード</t>
  </si>
  <si>
    <t xml:space="preserve">検索意図（読者の状態）</t>
  </si>
  <si>
    <r>
      <rPr>
        <b val="true"/>
        <sz val="10"/>
        <color rgb="FFFFFFFF"/>
        <rFont val="Noto Sans CJK SC"/>
        <family val="2"/>
      </rPr>
      <t xml:space="preserve">リンク先</t>
    </r>
    <r>
      <rPr>
        <b val="true"/>
        <sz val="10"/>
        <color rgb="FFFFFFFF"/>
        <rFont val="Arial"/>
        <family val="0"/>
        <charset val="1"/>
      </rPr>
      <t xml:space="preserve">No</t>
    </r>
  </si>
  <si>
    <t xml:space="preserve">使用案件</t>
  </si>
  <si>
    <t xml:space="preserve">公開予定週</t>
  </si>
  <si>
    <t xml:space="preserve">公開日</t>
  </si>
  <si>
    <t xml:space="preserve">インデックス日</t>
  </si>
  <si>
    <t xml:space="preserve">順位</t>
  </si>
  <si>
    <t xml:space="preserve">備考</t>
  </si>
  <si>
    <t xml:space="preserve">収益</t>
  </si>
  <si>
    <r>
      <rPr>
        <sz val="10"/>
        <rFont val="Noto Sans CJK SC"/>
        <family val="2"/>
      </rPr>
      <t xml:space="preserve">【案件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】の口コミ・評判｜実際に使った店舗の声</t>
    </r>
  </si>
  <si>
    <r>
      <rPr>
        <sz val="10"/>
        <rFont val="Noto Sans CJK SC"/>
        <family val="2"/>
      </rPr>
      <t xml:space="preserve">案件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名 口コミ</t>
    </r>
  </si>
  <si>
    <t xml:space="preserve">導入をほぼ決めていて最後の確認をしている</t>
  </si>
  <si>
    <t xml:space="preserve">-</t>
  </si>
  <si>
    <r>
      <rPr>
        <sz val="10"/>
        <rFont val="Noto Sans CJK SC"/>
        <family val="2"/>
      </rPr>
      <t xml:space="preserve">【案件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】の料金プランと解約方法をまとめて解説</t>
    </r>
  </si>
  <si>
    <r>
      <rPr>
        <sz val="10"/>
        <rFont val="Noto Sans CJK SC"/>
        <family val="2"/>
      </rPr>
      <t xml:space="preserve">案件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名 料金</t>
    </r>
  </si>
  <si>
    <t xml:space="preserve">費用と抜けやすさを確認している</t>
  </si>
  <si>
    <r>
      <rPr>
        <sz val="10"/>
        <rFont val="Noto Sans CJK SC"/>
        <family val="2"/>
      </rPr>
      <t xml:space="preserve">【案件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】の口コミ・評判｜導入店舗のリアルな評価</t>
    </r>
  </si>
  <si>
    <r>
      <rPr>
        <sz val="10"/>
        <rFont val="Noto Sans CJK SC"/>
        <family val="2"/>
      </rPr>
      <t xml:space="preserve">案件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名 評判</t>
    </r>
  </si>
  <si>
    <r>
      <rPr>
        <sz val="10"/>
        <rFont val="Noto Sans CJK SC"/>
        <family val="2"/>
      </rPr>
      <t xml:space="preserve">【案件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】の料金と導入手順｜初期費用はいくらか</t>
    </r>
  </si>
  <si>
    <r>
      <rPr>
        <sz val="10"/>
        <rFont val="Noto Sans CJK SC"/>
        <family val="2"/>
      </rPr>
      <t xml:space="preserve">案件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名 導入 費用</t>
    </r>
  </si>
  <si>
    <t xml:space="preserve">初期費用と手間を確認している</t>
  </si>
  <si>
    <r>
      <rPr>
        <sz val="10"/>
        <rFont val="Noto Sans CJK SC"/>
        <family val="2"/>
      </rPr>
      <t xml:space="preserve">【案件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】の口コミ・評判｜効果はあったのか</t>
    </r>
  </si>
  <si>
    <r>
      <rPr>
        <sz val="10"/>
        <rFont val="Noto Sans CJK SC"/>
        <family val="2"/>
      </rPr>
      <t xml:space="preserve">案件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名 口コミ</t>
    </r>
  </si>
  <si>
    <t xml:space="preserve">効果の実在を疑いつつ確認している</t>
  </si>
  <si>
    <r>
      <rPr>
        <sz val="10"/>
        <rFont val="Noto Sans CJK SC"/>
        <family val="2"/>
      </rPr>
      <t xml:space="preserve">【案件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】の料金と解約条件｜契約前に確認すべき点</t>
    </r>
  </si>
  <si>
    <r>
      <rPr>
        <sz val="10"/>
        <rFont val="Noto Sans CJK SC"/>
        <family val="2"/>
      </rPr>
      <t xml:space="preserve">案件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名 解約</t>
    </r>
  </si>
  <si>
    <t xml:space="preserve">契約リスクを確認している</t>
  </si>
  <si>
    <r>
      <rPr>
        <sz val="10"/>
        <rFont val="Noto Sans CJK SC"/>
        <family val="2"/>
      </rPr>
      <t xml:space="preserve">飲食店向け業務ツール比較｜予約・注文・集客の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分野</t>
    </r>
  </si>
  <si>
    <t xml:space="preserve">飲食店 業務ツール 比較</t>
  </si>
  <si>
    <t xml:space="preserve">何を導入すべきか決まっていない</t>
  </si>
  <si>
    <t xml:space="preserve">A/B/C</t>
  </si>
  <si>
    <t xml:space="preserve">集客</t>
  </si>
  <si>
    <t xml:space="preserve">飲食店の予約電話を減らす方法｜営業中の中断をなくす</t>
  </si>
  <si>
    <t xml:space="preserve">飲食店 予約 電話 減らす</t>
  </si>
  <si>
    <t xml:space="preserve">電話対応の負担に困っている</t>
  </si>
  <si>
    <t xml:space="preserve">1,7</t>
  </si>
  <si>
    <r>
      <rPr>
        <sz val="10"/>
        <rFont val="Noto Sans CJK SC"/>
        <family val="2"/>
      </rPr>
      <t xml:space="preserve">無断キャンセル対策｜個人店でもできる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つの方法</t>
    </r>
  </si>
  <si>
    <t xml:space="preserve">無断キャンセル 対策 飲食店</t>
  </si>
  <si>
    <t xml:space="preserve">実損が出て対策を探している</t>
  </si>
  <si>
    <t xml:space="preserve">1</t>
  </si>
  <si>
    <t xml:space="preserve">予約台帳を手書きで管理するデメリットと限界</t>
  </si>
  <si>
    <t xml:space="preserve">予約台帳 手書き</t>
  </si>
  <si>
    <t xml:space="preserve">現状のやり方に不安を感じている</t>
  </si>
  <si>
    <t xml:space="preserve">1,2</t>
  </si>
  <si>
    <r>
      <rPr>
        <sz val="10"/>
        <rFont val="Noto Sans CJK SC"/>
        <family val="2"/>
      </rPr>
      <t xml:space="preserve">飲食店の予約システムの選び方｜失敗しない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つの基準</t>
    </r>
  </si>
  <si>
    <t xml:space="preserve">飲食店 予約システム 選び方</t>
  </si>
  <si>
    <t xml:space="preserve">導入を検討し始めた</t>
  </si>
  <si>
    <t xml:space="preserve">飲食店の人手不足はなぜ起きるのか｜構造と対処法</t>
  </si>
  <si>
    <t xml:space="preserve">飲食店 人手不足 対策</t>
  </si>
  <si>
    <t xml:space="preserve">採用できず困っている</t>
  </si>
  <si>
    <t xml:space="preserve">3,7</t>
  </si>
  <si>
    <t xml:space="preserve">ホールスタッフを減らしても回る店の作り方</t>
  </si>
  <si>
    <t xml:space="preserve">ホールスタッフ 減らす</t>
  </si>
  <si>
    <t xml:space="preserve">人件費を下げたい</t>
  </si>
  <si>
    <t xml:space="preserve">3</t>
  </si>
  <si>
    <t xml:space="preserve">セルフオーダーのメリットとデメリットを正直に書く</t>
  </si>
  <si>
    <t xml:space="preserve">セルフオーダー デメリット</t>
  </si>
  <si>
    <t xml:space="preserve">導入の是非を迷っている</t>
  </si>
  <si>
    <t xml:space="preserve">3,4</t>
  </si>
  <si>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コード注文の導入費用はいくらか｜相場をまとめた</t>
    </r>
  </si>
  <si>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コード注文 費用</t>
    </r>
  </si>
  <si>
    <t xml:space="preserve">予算感を知りたい</t>
  </si>
  <si>
    <t xml:space="preserve">4,7</t>
  </si>
  <si>
    <r>
      <rPr>
        <sz val="10"/>
        <rFont val="Arial"/>
        <family val="0"/>
        <charset val="1"/>
      </rPr>
      <t xml:space="preserve">Google</t>
    </r>
    <r>
      <rPr>
        <sz val="10"/>
        <rFont val="Noto Sans CJK SC"/>
        <family val="2"/>
      </rPr>
      <t xml:space="preserve">ビジネスプロフィールの登録手順を画像つきで解説</t>
    </r>
  </si>
  <si>
    <r>
      <rPr>
        <sz val="10"/>
        <rFont val="Arial"/>
        <family val="0"/>
        <charset val="1"/>
      </rPr>
      <t xml:space="preserve">Google</t>
    </r>
    <r>
      <rPr>
        <sz val="10"/>
        <rFont val="Noto Sans CJK SC"/>
        <family val="2"/>
      </rPr>
      <t xml:space="preserve">ビジネスプロフィール 登録</t>
    </r>
  </si>
  <si>
    <t xml:space="preserve">無料でできることを探している</t>
  </si>
  <si>
    <t xml:space="preserve">5</t>
  </si>
  <si>
    <t xml:space="preserve">飲食店の口コミを自然に増やす方法｜依頼の仕方まで</t>
  </si>
  <si>
    <t xml:space="preserve">口コミ 増やす 飲食店</t>
  </si>
  <si>
    <t xml:space="preserve">評価を上げたい</t>
  </si>
  <si>
    <t xml:space="preserve">5,6</t>
  </si>
  <si>
    <r>
      <rPr>
        <sz val="10"/>
        <rFont val="Arial"/>
        <family val="0"/>
        <charset val="1"/>
      </rPr>
      <t xml:space="preserve">MEO</t>
    </r>
    <r>
      <rPr>
        <sz val="10"/>
        <rFont val="Noto Sans CJK SC"/>
        <family val="2"/>
      </rPr>
      <t xml:space="preserve">対策とは何か｜</t>
    </r>
    <r>
      <rPr>
        <sz val="10"/>
        <rFont val="Arial"/>
        <family val="0"/>
        <charset val="1"/>
      </rPr>
      <t xml:space="preserve">SEO</t>
    </r>
    <r>
      <rPr>
        <sz val="10"/>
        <rFont val="Noto Sans CJK SC"/>
        <family val="2"/>
      </rPr>
      <t xml:space="preserve">との違いを店舗目線で説明</t>
    </r>
  </si>
  <si>
    <r>
      <rPr>
        <sz val="10"/>
        <rFont val="Arial"/>
        <family val="0"/>
        <charset val="1"/>
      </rPr>
      <t xml:space="preserve">MEO</t>
    </r>
    <r>
      <rPr>
        <sz val="10"/>
        <rFont val="Noto Sans CJK SC"/>
        <family val="2"/>
      </rPr>
      <t xml:space="preserve">対策 とは</t>
    </r>
  </si>
  <si>
    <t xml:space="preserve">言葉を知ったばかり</t>
  </si>
  <si>
    <t xml:space="preserve">5,7</t>
  </si>
  <si>
    <r>
      <rPr>
        <sz val="10"/>
        <rFont val="Arial"/>
        <family val="0"/>
        <charset val="1"/>
      </rPr>
      <t xml:space="preserve">Google</t>
    </r>
    <r>
      <rPr>
        <sz val="10"/>
        <rFont val="Noto Sans CJK SC"/>
        <family val="2"/>
      </rPr>
      <t xml:space="preserve">マップで上位表示されない原因と確認手順</t>
    </r>
  </si>
  <si>
    <r>
      <rPr>
        <sz val="10"/>
        <rFont val="Arial"/>
        <family val="0"/>
        <charset val="1"/>
      </rPr>
      <t xml:space="preserve">Google</t>
    </r>
    <r>
      <rPr>
        <sz val="10"/>
        <rFont val="Noto Sans CJK SC"/>
        <family val="2"/>
      </rPr>
      <t xml:space="preserve">マップ 上位表示 されない</t>
    </r>
  </si>
  <si>
    <t xml:space="preserve">やっているのに効果が出ない</t>
  </si>
  <si>
    <t xml:space="preserve">6</t>
  </si>
  <si>
    <r>
      <rPr>
        <sz val="10"/>
        <rFont val="Noto Sans CJK SC"/>
        <family val="2"/>
      </rPr>
      <t xml:space="preserve">飲食店の</t>
    </r>
    <r>
      <rPr>
        <sz val="10"/>
        <rFont val="Arial"/>
        <family val="0"/>
        <charset val="1"/>
      </rPr>
      <t xml:space="preserve">DX</t>
    </r>
    <r>
      <rPr>
        <sz val="10"/>
        <rFont val="Noto Sans CJK SC"/>
        <family val="2"/>
      </rPr>
      <t xml:space="preserve">とは｜何から手をつけるべきか</t>
    </r>
  </si>
  <si>
    <r>
      <rPr>
        <sz val="10"/>
        <rFont val="Noto Sans CJK SC"/>
        <family val="2"/>
      </rPr>
      <t xml:space="preserve">飲食店 </t>
    </r>
    <r>
      <rPr>
        <sz val="10"/>
        <rFont val="Arial"/>
        <family val="0"/>
        <charset val="1"/>
      </rPr>
      <t xml:space="preserve">DX </t>
    </r>
    <r>
      <rPr>
        <sz val="10"/>
        <rFont val="Noto Sans CJK SC"/>
        <family val="2"/>
      </rPr>
      <t xml:space="preserve">とは</t>
    </r>
  </si>
  <si>
    <t xml:space="preserve">漠然と必要性を感じている</t>
  </si>
  <si>
    <t xml:space="preserve">7</t>
  </si>
  <si>
    <t xml:space="preserve">個人経営の飲食店ができる集客方法をまとめた</t>
  </si>
  <si>
    <t xml:space="preserve">個人店 集客 方法</t>
  </si>
  <si>
    <t xml:space="preserve">客数が減っている</t>
  </si>
  <si>
    <t xml:space="preserve">7,5</t>
  </si>
  <si>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導入補助金は飲食店で使えるのか｜対象と申請の流れ</t>
    </r>
  </si>
  <si>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導入補助金 飲食店</t>
    </r>
  </si>
  <si>
    <t xml:space="preserve">費用を抑える手段を探している</t>
  </si>
  <si>
    <t xml:space="preserve">2,4</t>
  </si>
  <si>
    <t xml:space="preserve">飲食店のリピーターを増やす仕組みの作り方</t>
  </si>
  <si>
    <t xml:space="preserve">リピーター 増やす 飲食店</t>
  </si>
  <si>
    <t xml:space="preserve">新規頼みの集客に限界を感じている</t>
  </si>
  <si>
    <t xml:space="preserve">1,6</t>
  </si>
  <si>
    <t xml:space="preserve">飲食店の客単価を上げる方法｜値上げ以外の選択肢</t>
  </si>
  <si>
    <t xml:space="preserve">客単価 上げる 飲食店</t>
  </si>
  <si>
    <t xml:space="preserve">売上を上げたい</t>
  </si>
  <si>
    <t xml:space="preserve">ランチタイムの回転率を上げるには｜滞在時間の短縮策</t>
  </si>
  <si>
    <t xml:space="preserve">ランチ 回転率 上げる</t>
  </si>
  <si>
    <t xml:space="preserve">ピーク時の機会損失を減らしたい</t>
  </si>
  <si>
    <t xml:space="preserve">4</t>
  </si>
  <si>
    <r>
      <rPr>
        <sz val="10"/>
        <rFont val="Noto Sans CJK SC"/>
        <family val="2"/>
      </rPr>
      <t xml:space="preserve">飲食店のレジの選び方｜</t>
    </r>
    <r>
      <rPr>
        <sz val="10"/>
        <rFont val="Arial"/>
        <family val="0"/>
        <charset val="1"/>
      </rPr>
      <t xml:space="preserve">POS</t>
    </r>
    <r>
      <rPr>
        <sz val="10"/>
        <rFont val="Noto Sans CJK SC"/>
        <family val="2"/>
      </rPr>
      <t xml:space="preserve">レジは本当に必要か</t>
    </r>
  </si>
  <si>
    <t xml:space="preserve">飲食店 レジ 選び方</t>
  </si>
  <si>
    <t xml:space="preserve">設備投資を検討している</t>
  </si>
  <si>
    <t xml:space="preserve">7,4</t>
  </si>
  <si>
    <r>
      <rPr>
        <sz val="10"/>
        <rFont val="Noto Sans CJK SC"/>
        <family val="2"/>
      </rPr>
      <t xml:space="preserve">飲食店の</t>
    </r>
    <r>
      <rPr>
        <sz val="10"/>
        <rFont val="Arial"/>
        <family val="0"/>
        <charset val="1"/>
      </rPr>
      <t xml:space="preserve">SNS</t>
    </r>
    <r>
      <rPr>
        <sz val="10"/>
        <rFont val="Noto Sans CJK SC"/>
        <family val="2"/>
      </rPr>
      <t xml:space="preserve">運用のコツ｜続かない店の共通点</t>
    </r>
  </si>
  <si>
    <r>
      <rPr>
        <sz val="10"/>
        <rFont val="Noto Sans CJK SC"/>
        <family val="2"/>
      </rPr>
      <t xml:space="preserve">飲食店 </t>
    </r>
    <r>
      <rPr>
        <sz val="10"/>
        <rFont val="Arial"/>
        <family val="0"/>
        <charset val="1"/>
      </rPr>
      <t xml:space="preserve">SNS </t>
    </r>
    <r>
      <rPr>
        <sz val="10"/>
        <rFont val="Noto Sans CJK SC"/>
        <family val="2"/>
      </rPr>
      <t xml:space="preserve">運用 コツ</t>
    </r>
  </si>
  <si>
    <t xml:space="preserve">投稿しているが反応がない</t>
  </si>
  <si>
    <r>
      <rPr>
        <sz val="10"/>
        <rFont val="Noto Sans CJK SC"/>
        <family val="2"/>
      </rPr>
      <t xml:space="preserve">飲食店の業務効率化の事例｜小規模店が変えた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つの作業</t>
    </r>
  </si>
  <si>
    <t xml:space="preserve">飲食店 業務効率化 事例</t>
  </si>
  <si>
    <t xml:space="preserve">他店の実例を知りたい</t>
  </si>
  <si>
    <t xml:space="preserve">7,3</t>
  </si>
  <si>
    <t xml:space="preserve">飲食店開業の準備リスト｜開店前に決めておくこと</t>
  </si>
  <si>
    <t xml:space="preserve">飲食店 開業 準備</t>
  </si>
  <si>
    <t xml:space="preserve">これから始める</t>
  </si>
  <si>
    <t xml:space="preserve">7,1</t>
  </si>
  <si>
    <t xml:space="preserve">飲食店の原価率を下げる方法｜削ってはいけない部分</t>
  </si>
  <si>
    <t xml:space="preserve">飲食店 原価率 下げる</t>
  </si>
  <si>
    <t xml:space="preserve">利益が残らない</t>
  </si>
  <si>
    <r>
      <rPr>
        <b val="true"/>
        <sz val="12"/>
        <color rgb="FF1F3864"/>
        <rFont val="Noto Sans CJK SC"/>
        <family val="2"/>
      </rPr>
      <t xml:space="preserve">制約チェック（</t>
    </r>
    <r>
      <rPr>
        <b val="true"/>
        <sz val="12"/>
        <color rgb="FF1F3864"/>
        <rFont val="Arial"/>
        <family val="0"/>
        <charset val="1"/>
      </rPr>
      <t xml:space="preserve">M1</t>
    </r>
    <r>
      <rPr>
        <b val="true"/>
        <sz val="12"/>
        <color rgb="FF1F3864"/>
        <rFont val="Noto Sans CJK SC"/>
        <family val="2"/>
      </rPr>
      <t xml:space="preserve">に実装する検証ロジック）</t>
    </r>
  </si>
  <si>
    <t xml:space="preserve">項目</t>
  </si>
  <si>
    <t xml:space="preserve">基準</t>
  </si>
  <si>
    <t xml:space="preserve">実測</t>
  </si>
  <si>
    <t xml:space="preserve">判定</t>
  </si>
  <si>
    <t xml:space="preserve">記事総数</t>
  </si>
  <si>
    <t xml:space="preserve">集客記事数</t>
  </si>
  <si>
    <r>
      <rPr>
        <sz val="10"/>
        <rFont val="Noto Sans CJK SC"/>
        <family val="2"/>
      </rPr>
      <t xml:space="preserve">収益記事</t>
    </r>
    <r>
      <rPr>
        <sz val="10"/>
        <rFont val="Arial"/>
        <family val="0"/>
        <charset val="1"/>
      </rPr>
      <t xml:space="preserve">No.1 </t>
    </r>
    <r>
      <rPr>
        <sz val="10"/>
        <rFont val="Noto Sans CJK SC"/>
        <family val="2"/>
      </rPr>
      <t xml:space="preserve">への流入本数</t>
    </r>
  </si>
  <si>
    <r>
      <rPr>
        <sz val="10"/>
        <rFont val="Noto Sans CJK SC"/>
        <family val="2"/>
      </rPr>
      <t xml:space="preserve">収益記事</t>
    </r>
    <r>
      <rPr>
        <sz val="10"/>
        <rFont val="Arial"/>
        <family val="0"/>
        <charset val="1"/>
      </rPr>
      <t xml:space="preserve">No.2 </t>
    </r>
    <r>
      <rPr>
        <sz val="10"/>
        <rFont val="Noto Sans CJK SC"/>
        <family val="2"/>
      </rPr>
      <t xml:space="preserve">への流入本数</t>
    </r>
  </si>
  <si>
    <r>
      <rPr>
        <sz val="10"/>
        <rFont val="Noto Sans CJK SC"/>
        <family val="2"/>
      </rPr>
      <t xml:space="preserve">収益記事</t>
    </r>
    <r>
      <rPr>
        <sz val="10"/>
        <rFont val="Arial"/>
        <family val="0"/>
        <charset val="1"/>
      </rPr>
      <t xml:space="preserve">No.3 </t>
    </r>
    <r>
      <rPr>
        <sz val="10"/>
        <rFont val="Noto Sans CJK SC"/>
        <family val="2"/>
      </rPr>
      <t xml:space="preserve">への流入本数</t>
    </r>
  </si>
  <si>
    <r>
      <rPr>
        <sz val="10"/>
        <rFont val="Noto Sans CJK SC"/>
        <family val="2"/>
      </rPr>
      <t xml:space="preserve">収益記事</t>
    </r>
    <r>
      <rPr>
        <sz val="10"/>
        <rFont val="Arial"/>
        <family val="0"/>
        <charset val="1"/>
      </rPr>
      <t xml:space="preserve">No.4 </t>
    </r>
    <r>
      <rPr>
        <sz val="10"/>
        <rFont val="Noto Sans CJK SC"/>
        <family val="2"/>
      </rPr>
      <t xml:space="preserve">への流入本数</t>
    </r>
  </si>
  <si>
    <r>
      <rPr>
        <sz val="10"/>
        <rFont val="Noto Sans CJK SC"/>
        <family val="2"/>
      </rPr>
      <t xml:space="preserve">収益記事</t>
    </r>
    <r>
      <rPr>
        <sz val="10"/>
        <rFont val="Arial"/>
        <family val="0"/>
        <charset val="1"/>
      </rPr>
      <t xml:space="preserve">No.5 </t>
    </r>
    <r>
      <rPr>
        <sz val="10"/>
        <rFont val="Noto Sans CJK SC"/>
        <family val="2"/>
      </rPr>
      <t xml:space="preserve">への流入本数</t>
    </r>
  </si>
  <si>
    <r>
      <rPr>
        <sz val="10"/>
        <rFont val="Noto Sans CJK SC"/>
        <family val="2"/>
      </rPr>
      <t xml:space="preserve">収益記事</t>
    </r>
    <r>
      <rPr>
        <sz val="10"/>
        <rFont val="Arial"/>
        <family val="0"/>
        <charset val="1"/>
      </rPr>
      <t xml:space="preserve">No.6 </t>
    </r>
    <r>
      <rPr>
        <sz val="10"/>
        <rFont val="Noto Sans CJK SC"/>
        <family val="2"/>
      </rPr>
      <t xml:space="preserve">への流入本数</t>
    </r>
  </si>
  <si>
    <r>
      <rPr>
        <sz val="10"/>
        <rFont val="Noto Sans CJK SC"/>
        <family val="2"/>
      </rPr>
      <t xml:space="preserve">収益記事</t>
    </r>
    <r>
      <rPr>
        <sz val="10"/>
        <rFont val="Arial"/>
        <family val="0"/>
        <charset val="1"/>
      </rPr>
      <t xml:space="preserve">No.7 </t>
    </r>
    <r>
      <rPr>
        <sz val="10"/>
        <rFont val="Noto Sans CJK SC"/>
        <family val="2"/>
      </rPr>
      <t xml:space="preserve">への流入本数</t>
    </r>
  </si>
  <si>
    <r>
      <rPr>
        <b val="true"/>
        <sz val="10"/>
        <rFont val="Arial"/>
        <family val="0"/>
        <charset val="1"/>
      </rPr>
      <t xml:space="preserve">M1</t>
    </r>
    <r>
      <rPr>
        <b val="true"/>
        <sz val="10"/>
        <rFont val="Noto Sans CJK SC"/>
        <family val="2"/>
      </rPr>
      <t xml:space="preserve">（構成表ジェネレーター）に実装する再生成ループ：</t>
    </r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</si>
  <si>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収益記事を案件から生成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</si>
  <si>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各収益記事に繋ぐ検索意図を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つ列挙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</si>
  <si>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検索意図をキーワードに変換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</si>
  <si>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キーワード重複を検出し統合または差し替え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</si>
  <si>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上記の制約を全て満たすまで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を再実行（最大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回）</t>
    </r>
  </si>
  <si>
    <r>
      <rPr>
        <sz val="10"/>
        <rFont val="Arial"/>
        <family val="0"/>
        <charset val="1"/>
      </rPr>
      <t xml:space="preserve">6. </t>
    </r>
    <r>
      <rPr>
        <sz val="10"/>
        <rFont val="Noto Sans CJK SC"/>
        <family val="2"/>
      </rPr>
      <t xml:space="preserve">公開順序を付与（収益記事を先に全公開 → 集客記事を週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本）</t>
    </r>
  </si>
  <si>
    <r>
      <rPr>
        <b val="true"/>
        <sz val="10"/>
        <rFont val="Noto Sans CJK SC"/>
        <family val="2"/>
      </rPr>
      <t xml:space="preserve">手動作成で判明した論点（</t>
    </r>
    <r>
      <rPr>
        <b val="true"/>
        <sz val="10"/>
        <rFont val="Arial"/>
        <family val="0"/>
        <charset val="1"/>
      </rPr>
      <t xml:space="preserve">M1</t>
    </r>
    <r>
      <rPr>
        <b val="true"/>
        <sz val="10"/>
        <rFont val="Noto Sans CJK SC"/>
        <family val="2"/>
      </rPr>
      <t xml:space="preserve">の仕様に反映すること）：</t>
    </r>
  </si>
  <si>
    <r>
      <rPr>
        <sz val="10"/>
        <rFont val="Noto Sans CJK SC"/>
        <family val="2"/>
      </rPr>
      <t xml:space="preserve">・検索意図からキーワードへの変換で、重複が発生しやすい（例：集客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選び方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比較）</t>
    </r>
  </si>
  <si>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つの集客記事が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本の収益記事に繋がると、記事内容がぶれやすい</t>
    </r>
  </si>
  <si>
    <t xml:space="preserve">・案件名が確定しないと収益記事のタイトルが作れない → 案件確定を必須の前工程にする</t>
  </si>
  <si>
    <r>
      <rPr>
        <sz val="10"/>
        <rFont val="Noto Sans CJK SC"/>
        <family val="2"/>
      </rPr>
      <t xml:space="preserve">・リンク先に集客記事の番号を書いてしまう誤りが多発した → </t>
    </r>
    <r>
      <rPr>
        <sz val="10"/>
        <rFont val="Arial"/>
        <family val="0"/>
        <charset val="1"/>
      </rPr>
      <t xml:space="preserve">M1</t>
    </r>
    <r>
      <rPr>
        <sz val="10"/>
        <rFont val="Noto Sans CJK SC"/>
        <family val="2"/>
      </rPr>
      <t xml:space="preserve">では収益記事の</t>
    </r>
    <r>
      <rPr>
        <sz val="10"/>
        <rFont val="Arial"/>
        <family val="0"/>
        <charset val="1"/>
      </rPr>
      <t xml:space="preserve">No</t>
    </r>
    <r>
      <rPr>
        <sz val="10"/>
        <rFont val="Noto Sans CJK SC"/>
        <family val="2"/>
      </rPr>
      <t xml:space="preserve">のみ許可するバリデーションが必須</t>
    </r>
  </si>
  <si>
    <r>
      <rPr>
        <sz val="10"/>
        <rFont val="Noto Sans CJK SC"/>
        <family val="2"/>
      </rPr>
      <t xml:space="preserve">・料金・解約系の収益記事は流入を集めにくい（初回は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本しか繋がらなかった）→ 費用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補助金系の集客記事を意図的に割り当てる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</si>
</sst>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3"/>
      <color rgb="FF1F3864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Noto Sans CJK SC"/>
      <family val="2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12"/>
      <color rgb="FF1F3864"/>
      <name val="Noto Sans CJK SC"/>
      <family val="2"/>
    </font>
    <font>
      <b val="true"/>
      <sz val="12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8"/>
  </cols>
  <sheetData>
    <row r="1" customFormat="false" ht="20.1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4" t="s">
        <v>1</v>
      </c>
      <c r="B3" s="5" t="s">
        <v>2</v>
      </c>
    </row>
    <row r="4" customFormat="false" ht="15" hidden="false" customHeight="false" outlineLevel="0" collapsed="false">
      <c r="A4" s="4" t="s">
        <v>3</v>
      </c>
      <c r="B4" s="2" t="s">
        <v>4</v>
      </c>
    </row>
    <row r="5" customFormat="false" ht="15" hidden="false" customHeight="false" outlineLevel="0" collapsed="false">
      <c r="A5" s="4" t="s">
        <v>5</v>
      </c>
      <c r="B5" s="2" t="s">
        <v>6</v>
      </c>
    </row>
    <row r="6" customFormat="false" ht="15" hidden="false" customHeight="false" outlineLevel="0" collapsed="false">
      <c r="A6" s="3"/>
      <c r="B6" s="2"/>
    </row>
    <row r="7" customFormat="false" ht="15" hidden="false" customHeight="false" outlineLevel="0" collapsed="false">
      <c r="A7" s="4" t="s">
        <v>7</v>
      </c>
      <c r="B7" s="2" t="s">
        <v>8</v>
      </c>
    </row>
    <row r="8" customFormat="false" ht="15" hidden="false" customHeight="false" outlineLevel="0" collapsed="false">
      <c r="A8" s="4"/>
      <c r="B8" s="5" t="s">
        <v>9</v>
      </c>
    </row>
    <row r="9" customFormat="false" ht="15" hidden="false" customHeight="false" outlineLevel="0" collapsed="false">
      <c r="A9" s="3"/>
      <c r="B9" s="2"/>
    </row>
    <row r="10" customFormat="false" ht="15" hidden="false" customHeight="false" outlineLevel="0" collapsed="false">
      <c r="A10" s="4" t="s">
        <v>10</v>
      </c>
      <c r="B10" s="5" t="s">
        <v>11</v>
      </c>
    </row>
    <row r="11" customFormat="false" ht="15" hidden="false" customHeight="false" outlineLevel="0" collapsed="false">
      <c r="A11" s="3"/>
      <c r="B11" s="2"/>
    </row>
    <row r="12" customFormat="false" ht="15" hidden="false" customHeight="false" outlineLevel="0" collapsed="false">
      <c r="A12" s="4" t="s">
        <v>12</v>
      </c>
      <c r="B12" s="2" t="s">
        <v>13</v>
      </c>
    </row>
    <row r="13" customFormat="false" ht="15" hidden="false" customHeight="false" outlineLevel="0" collapsed="false">
      <c r="A13" s="4"/>
      <c r="B13" s="2" t="s">
        <v>14</v>
      </c>
    </row>
    <row r="14" customFormat="false" ht="15" hidden="false" customHeight="false" outlineLevel="0" collapsed="false">
      <c r="A14" s="4"/>
      <c r="B14" s="2" t="s">
        <v>15</v>
      </c>
    </row>
    <row r="15" customFormat="false" ht="15" hidden="false" customHeight="false" outlineLevel="0" collapsed="false">
      <c r="A15" s="4"/>
      <c r="B15" s="2" t="s">
        <v>16</v>
      </c>
    </row>
    <row r="16" customFormat="false" ht="15" hidden="false" customHeight="false" outlineLevel="0" collapsed="false">
      <c r="A16" s="4"/>
      <c r="B16" s="2" t="s">
        <v>17</v>
      </c>
    </row>
    <row r="17" customFormat="false" ht="15" hidden="false" customHeight="false" outlineLevel="0" collapsed="false">
      <c r="A17" s="3"/>
      <c r="B17" s="2"/>
    </row>
    <row r="18" customFormat="false" ht="15" hidden="false" customHeight="false" outlineLevel="0" collapsed="false">
      <c r="A18" s="6" t="s">
        <v>18</v>
      </c>
      <c r="B18" s="2"/>
    </row>
    <row r="19" customFormat="false" ht="15" hidden="false" customHeight="false" outlineLevel="0" collapsed="false">
      <c r="A19" s="4" t="s">
        <v>19</v>
      </c>
      <c r="B19" s="5" t="s">
        <v>20</v>
      </c>
    </row>
    <row r="20" customFormat="false" ht="15" hidden="false" customHeight="false" outlineLevel="0" collapsed="false">
      <c r="A20" s="4" t="s">
        <v>21</v>
      </c>
      <c r="B20" s="5" t="s">
        <v>22</v>
      </c>
    </row>
    <row r="21" customFormat="false" ht="15" hidden="false" customHeight="false" outlineLevel="0" collapsed="false">
      <c r="A21" s="7" t="s">
        <v>23</v>
      </c>
      <c r="B21" s="5" t="s">
        <v>24</v>
      </c>
    </row>
    <row r="22" customFormat="false" ht="15" hidden="false" customHeight="false" outlineLevel="0" collapsed="false">
      <c r="A22" s="4" t="s">
        <v>25</v>
      </c>
      <c r="B22" s="5" t="s">
        <v>26</v>
      </c>
    </row>
    <row r="23" customFormat="false" ht="15" hidden="false" customHeight="false" outlineLevel="0" collapsed="false">
      <c r="A23" s="4" t="s">
        <v>27</v>
      </c>
      <c r="B23" s="5" t="s">
        <v>28</v>
      </c>
    </row>
    <row r="24" customFormat="false" ht="15" hidden="false" customHeight="false" outlineLevel="0" collapsed="false">
      <c r="A24" s="4" t="s">
        <v>29</v>
      </c>
      <c r="B24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5" min="4" style="0" width="14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12" min="8" style="0" width="11"/>
    <col collapsed="false" customWidth="true" hidden="false" outlineLevel="0" max="13" min="13" style="0" width="9"/>
  </cols>
  <sheetData>
    <row r="1" customFormat="false" ht="29.85" hidden="false" customHeight="false" outlineLevel="0" collapsed="false">
      <c r="A1" s="8" t="s">
        <v>31</v>
      </c>
      <c r="B1" s="8" t="s">
        <v>32</v>
      </c>
      <c r="C1" s="8" t="s">
        <v>33</v>
      </c>
      <c r="D1" s="9" t="s">
        <v>34</v>
      </c>
      <c r="E1" s="8" t="s">
        <v>35</v>
      </c>
      <c r="F1" s="8" t="s">
        <v>36</v>
      </c>
      <c r="G1" s="8" t="s">
        <v>37</v>
      </c>
      <c r="H1" s="8" t="s">
        <v>38</v>
      </c>
      <c r="I1" s="9" t="s">
        <v>39</v>
      </c>
      <c r="J1" s="8" t="s">
        <v>40</v>
      </c>
      <c r="K1" s="8" t="s">
        <v>41</v>
      </c>
      <c r="L1" s="8" t="s">
        <v>42</v>
      </c>
      <c r="M1" s="8" t="s">
        <v>43</v>
      </c>
    </row>
    <row r="2" customFormat="false" ht="29.85" hidden="false" customHeight="false" outlineLevel="0" collapsed="false">
      <c r="A2" s="10" t="s">
        <v>44</v>
      </c>
      <c r="B2" s="11" t="s">
        <v>45</v>
      </c>
      <c r="C2" s="12"/>
      <c r="D2" s="12"/>
      <c r="E2" s="12"/>
      <c r="F2" s="11" t="s">
        <v>46</v>
      </c>
      <c r="G2" s="13"/>
      <c r="H2" s="13"/>
      <c r="I2" s="13"/>
      <c r="J2" s="13"/>
      <c r="K2" s="13"/>
      <c r="L2" s="13"/>
      <c r="M2" s="14" t="n">
        <f aca="false">SUM(G2:L2)</f>
        <v>0</v>
      </c>
    </row>
    <row r="3" customFormat="false" ht="29.85" hidden="false" customHeight="false" outlineLevel="0" collapsed="false">
      <c r="A3" s="10" t="s">
        <v>47</v>
      </c>
      <c r="B3" s="11" t="s">
        <v>48</v>
      </c>
      <c r="C3" s="12"/>
      <c r="D3" s="12"/>
      <c r="E3" s="12"/>
      <c r="F3" s="11" t="s">
        <v>49</v>
      </c>
      <c r="G3" s="13"/>
      <c r="H3" s="13"/>
      <c r="I3" s="13"/>
      <c r="J3" s="13"/>
      <c r="K3" s="13"/>
      <c r="L3" s="13"/>
      <c r="M3" s="14" t="n">
        <f aca="false">SUM(G3:L3)</f>
        <v>0</v>
      </c>
    </row>
    <row r="4" customFormat="false" ht="15" hidden="false" customHeight="false" outlineLevel="0" collapsed="false">
      <c r="A4" s="10" t="s">
        <v>50</v>
      </c>
      <c r="B4" s="10" t="s">
        <v>51</v>
      </c>
      <c r="C4" s="12"/>
      <c r="D4" s="12"/>
      <c r="E4" s="12"/>
      <c r="F4" s="11" t="s">
        <v>52</v>
      </c>
      <c r="G4" s="13"/>
      <c r="H4" s="13"/>
      <c r="I4" s="13"/>
      <c r="J4" s="13"/>
      <c r="K4" s="13"/>
      <c r="L4" s="13"/>
      <c r="M4" s="14" t="n">
        <f aca="false">SUM(G4:L4)</f>
        <v>0</v>
      </c>
    </row>
    <row r="6" customFormat="false" ht="15" hidden="false" customHeight="false" outlineLevel="0" collapsed="false">
      <c r="A6" s="15" t="s">
        <v>53</v>
      </c>
    </row>
    <row r="7" customFormat="false" ht="15" hidden="false" customHeight="false" outlineLevel="0" collapsed="false">
      <c r="A7" s="16" t="s">
        <v>54</v>
      </c>
      <c r="B7" s="16" t="s">
        <v>45</v>
      </c>
      <c r="C7" s="16" t="s">
        <v>55</v>
      </c>
      <c r="D7" s="17" t="s">
        <v>56</v>
      </c>
      <c r="E7" s="17" t="s">
        <v>57</v>
      </c>
      <c r="F7" s="16" t="s">
        <v>58</v>
      </c>
      <c r="G7" s="16" t="n">
        <v>30</v>
      </c>
      <c r="H7" s="16" t="n">
        <v>8</v>
      </c>
      <c r="I7" s="16" t="n">
        <v>16</v>
      </c>
      <c r="J7" s="16" t="n">
        <v>12</v>
      </c>
      <c r="K7" s="16" t="n">
        <v>10</v>
      </c>
      <c r="L7" s="16" t="n">
        <v>4</v>
      </c>
      <c r="M7" s="16" t="n">
        <f aca="false">SUM(G7:L7)</f>
        <v>80</v>
      </c>
    </row>
    <row r="9" customFormat="false" ht="15" hidden="false" customHeight="false" outlineLevel="0" collapsed="false">
      <c r="A9" s="18"/>
    </row>
    <row r="10" customFormat="false" ht="15" hidden="false" customHeight="false" outlineLevel="0" collapsed="false">
      <c r="A10" s="19" t="s">
        <v>59</v>
      </c>
    </row>
    <row r="11" customFormat="false" ht="15" hidden="false" customHeight="false" outlineLevel="0" collapsed="false">
      <c r="A11" s="19" t="s">
        <v>60</v>
      </c>
    </row>
    <row r="12" customFormat="false" ht="15" hidden="false" customHeight="false" outlineLevel="0" collapsed="false">
      <c r="A12" s="19" t="s">
        <v>61</v>
      </c>
    </row>
    <row r="13" customFormat="false" ht="15" hidden="false" customHeight="false" outlineLevel="0" collapsed="false">
      <c r="A13" s="18" t="s">
        <v>62</v>
      </c>
    </row>
    <row r="14" customFormat="false" ht="15" hidden="false" customHeight="false" outlineLevel="0" collapsed="false">
      <c r="A14" s="19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20"/>
  </cols>
  <sheetData>
    <row r="1" customFormat="false" ht="29.85" hidden="false" customHeight="false" outlineLevel="0" collapsed="false">
      <c r="A1" s="9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71</v>
      </c>
      <c r="I1" s="8" t="s">
        <v>72</v>
      </c>
      <c r="J1" s="8" t="s">
        <v>73</v>
      </c>
      <c r="K1" s="8" t="s">
        <v>74</v>
      </c>
      <c r="L1" s="8" t="s">
        <v>75</v>
      </c>
    </row>
    <row r="2" customFormat="false" ht="29.85" hidden="false" customHeight="false" outlineLevel="0" collapsed="false">
      <c r="A2" s="20" t="n">
        <v>1</v>
      </c>
      <c r="B2" s="21" t="s">
        <v>76</v>
      </c>
      <c r="C2" s="22" t="s">
        <v>77</v>
      </c>
      <c r="D2" s="22" t="s">
        <v>78</v>
      </c>
      <c r="E2" s="22" t="s">
        <v>79</v>
      </c>
      <c r="F2" s="20" t="s">
        <v>80</v>
      </c>
      <c r="G2" s="20" t="s">
        <v>44</v>
      </c>
      <c r="H2" s="20" t="n">
        <v>1</v>
      </c>
      <c r="I2" s="23"/>
      <c r="J2" s="23"/>
      <c r="K2" s="23"/>
      <c r="L2" s="24"/>
    </row>
    <row r="3" customFormat="false" ht="15" hidden="false" customHeight="false" outlineLevel="0" collapsed="false">
      <c r="A3" s="20" t="n">
        <v>2</v>
      </c>
      <c r="B3" s="21" t="s">
        <v>76</v>
      </c>
      <c r="C3" s="22" t="s">
        <v>81</v>
      </c>
      <c r="D3" s="22" t="s">
        <v>82</v>
      </c>
      <c r="E3" s="22" t="s">
        <v>83</v>
      </c>
      <c r="F3" s="20" t="s">
        <v>80</v>
      </c>
      <c r="G3" s="20" t="s">
        <v>44</v>
      </c>
      <c r="H3" s="20" t="n">
        <v>1</v>
      </c>
      <c r="I3" s="23"/>
      <c r="J3" s="23"/>
      <c r="K3" s="23"/>
      <c r="L3" s="24"/>
    </row>
    <row r="4" customFormat="false" ht="29.85" hidden="false" customHeight="false" outlineLevel="0" collapsed="false">
      <c r="A4" s="20" t="n">
        <v>3</v>
      </c>
      <c r="B4" s="21" t="s">
        <v>76</v>
      </c>
      <c r="C4" s="22" t="s">
        <v>84</v>
      </c>
      <c r="D4" s="22" t="s">
        <v>85</v>
      </c>
      <c r="E4" s="22" t="s">
        <v>79</v>
      </c>
      <c r="F4" s="20" t="s">
        <v>80</v>
      </c>
      <c r="G4" s="20" t="s">
        <v>47</v>
      </c>
      <c r="H4" s="20" t="n">
        <v>1</v>
      </c>
      <c r="I4" s="23"/>
      <c r="J4" s="23"/>
      <c r="K4" s="23"/>
      <c r="L4" s="24"/>
    </row>
    <row r="5" customFormat="false" ht="15" hidden="false" customHeight="false" outlineLevel="0" collapsed="false">
      <c r="A5" s="20" t="n">
        <v>4</v>
      </c>
      <c r="B5" s="21" t="s">
        <v>76</v>
      </c>
      <c r="C5" s="22" t="s">
        <v>86</v>
      </c>
      <c r="D5" s="22" t="s">
        <v>87</v>
      </c>
      <c r="E5" s="22" t="s">
        <v>88</v>
      </c>
      <c r="F5" s="20" t="s">
        <v>80</v>
      </c>
      <c r="G5" s="20" t="s">
        <v>47</v>
      </c>
      <c r="H5" s="20" t="n">
        <v>2</v>
      </c>
      <c r="I5" s="23"/>
      <c r="J5" s="23"/>
      <c r="K5" s="23"/>
      <c r="L5" s="24"/>
    </row>
    <row r="6" customFormat="false" ht="15" hidden="false" customHeight="false" outlineLevel="0" collapsed="false">
      <c r="A6" s="20" t="n">
        <v>5</v>
      </c>
      <c r="B6" s="21" t="s">
        <v>76</v>
      </c>
      <c r="C6" s="22" t="s">
        <v>89</v>
      </c>
      <c r="D6" s="22" t="s">
        <v>90</v>
      </c>
      <c r="E6" s="22" t="s">
        <v>91</v>
      </c>
      <c r="F6" s="20" t="s">
        <v>80</v>
      </c>
      <c r="G6" s="20" t="s">
        <v>50</v>
      </c>
      <c r="H6" s="20" t="n">
        <v>2</v>
      </c>
      <c r="I6" s="23"/>
      <c r="J6" s="23"/>
      <c r="K6" s="23"/>
      <c r="L6" s="24"/>
    </row>
    <row r="7" customFormat="false" ht="29.85" hidden="false" customHeight="false" outlineLevel="0" collapsed="false">
      <c r="A7" s="20" t="n">
        <v>6</v>
      </c>
      <c r="B7" s="21" t="s">
        <v>76</v>
      </c>
      <c r="C7" s="22" t="s">
        <v>92</v>
      </c>
      <c r="D7" s="22" t="s">
        <v>93</v>
      </c>
      <c r="E7" s="22" t="s">
        <v>94</v>
      </c>
      <c r="F7" s="20" t="s">
        <v>80</v>
      </c>
      <c r="G7" s="20" t="s">
        <v>50</v>
      </c>
      <c r="H7" s="20" t="n">
        <v>2</v>
      </c>
      <c r="I7" s="23"/>
      <c r="J7" s="23"/>
      <c r="K7" s="23"/>
      <c r="L7" s="24"/>
    </row>
    <row r="8" customFormat="false" ht="29.85" hidden="false" customHeight="false" outlineLevel="0" collapsed="false">
      <c r="A8" s="20" t="n">
        <v>7</v>
      </c>
      <c r="B8" s="21" t="s">
        <v>76</v>
      </c>
      <c r="C8" s="22" t="s">
        <v>95</v>
      </c>
      <c r="D8" s="22" t="s">
        <v>96</v>
      </c>
      <c r="E8" s="22" t="s">
        <v>97</v>
      </c>
      <c r="F8" s="20" t="s">
        <v>80</v>
      </c>
      <c r="G8" s="20" t="s">
        <v>98</v>
      </c>
      <c r="H8" s="20" t="n">
        <v>2</v>
      </c>
      <c r="I8" s="23"/>
      <c r="J8" s="23"/>
      <c r="K8" s="23"/>
      <c r="L8" s="24"/>
    </row>
    <row r="9" customFormat="false" ht="29.85" hidden="false" customHeight="false" outlineLevel="0" collapsed="false">
      <c r="A9" s="25" t="n">
        <v>8</v>
      </c>
      <c r="B9" s="26" t="s">
        <v>99</v>
      </c>
      <c r="C9" s="11" t="s">
        <v>100</v>
      </c>
      <c r="D9" s="11" t="s">
        <v>101</v>
      </c>
      <c r="E9" s="11" t="s">
        <v>102</v>
      </c>
      <c r="F9" s="25" t="s">
        <v>103</v>
      </c>
      <c r="G9" s="25" t="s">
        <v>80</v>
      </c>
      <c r="H9" s="25" t="n">
        <v>3</v>
      </c>
      <c r="I9" s="23"/>
      <c r="J9" s="23"/>
      <c r="K9" s="23"/>
    </row>
    <row r="10" customFormat="false" ht="15" hidden="false" customHeight="false" outlineLevel="0" collapsed="false">
      <c r="A10" s="25" t="n">
        <v>9</v>
      </c>
      <c r="B10" s="26" t="s">
        <v>99</v>
      </c>
      <c r="C10" s="11" t="s">
        <v>104</v>
      </c>
      <c r="D10" s="11" t="s">
        <v>105</v>
      </c>
      <c r="E10" s="11" t="s">
        <v>106</v>
      </c>
      <c r="F10" s="25" t="s">
        <v>107</v>
      </c>
      <c r="G10" s="25" t="s">
        <v>80</v>
      </c>
      <c r="H10" s="25" t="n">
        <v>3</v>
      </c>
      <c r="I10" s="23"/>
      <c r="J10" s="23"/>
      <c r="K10" s="23"/>
    </row>
    <row r="11" customFormat="false" ht="15" hidden="false" customHeight="false" outlineLevel="0" collapsed="false">
      <c r="A11" s="25" t="n">
        <v>10</v>
      </c>
      <c r="B11" s="26" t="s">
        <v>99</v>
      </c>
      <c r="C11" s="11" t="s">
        <v>108</v>
      </c>
      <c r="D11" s="11" t="s">
        <v>109</v>
      </c>
      <c r="E11" s="11" t="s">
        <v>110</v>
      </c>
      <c r="F11" s="25" t="s">
        <v>111</v>
      </c>
      <c r="G11" s="25" t="s">
        <v>80</v>
      </c>
      <c r="H11" s="25" t="n">
        <v>3</v>
      </c>
      <c r="I11" s="23"/>
      <c r="J11" s="23"/>
      <c r="K11" s="23"/>
    </row>
    <row r="12" customFormat="false" ht="29.85" hidden="false" customHeight="false" outlineLevel="0" collapsed="false">
      <c r="A12" s="25" t="n">
        <v>11</v>
      </c>
      <c r="B12" s="26" t="s">
        <v>99</v>
      </c>
      <c r="C12" s="11" t="s">
        <v>112</v>
      </c>
      <c r="D12" s="11" t="s">
        <v>113</v>
      </c>
      <c r="E12" s="11" t="s">
        <v>114</v>
      </c>
      <c r="F12" s="25" t="s">
        <v>111</v>
      </c>
      <c r="G12" s="25" t="s">
        <v>80</v>
      </c>
      <c r="H12" s="25" t="n">
        <v>3</v>
      </c>
      <c r="I12" s="23"/>
      <c r="J12" s="23"/>
      <c r="K12" s="23"/>
    </row>
    <row r="13" customFormat="false" ht="29.85" hidden="false" customHeight="false" outlineLevel="0" collapsed="false">
      <c r="A13" s="25" t="n">
        <v>12</v>
      </c>
      <c r="B13" s="26" t="s">
        <v>99</v>
      </c>
      <c r="C13" s="11" t="s">
        <v>115</v>
      </c>
      <c r="D13" s="11" t="s">
        <v>116</v>
      </c>
      <c r="E13" s="11" t="s">
        <v>117</v>
      </c>
      <c r="F13" s="25" t="s">
        <v>118</v>
      </c>
      <c r="G13" s="25" t="s">
        <v>80</v>
      </c>
      <c r="H13" s="25" t="n">
        <v>4</v>
      </c>
      <c r="I13" s="23"/>
      <c r="J13" s="23"/>
      <c r="K13" s="23"/>
    </row>
    <row r="14" customFormat="false" ht="15" hidden="false" customHeight="false" outlineLevel="0" collapsed="false">
      <c r="A14" s="25" t="n">
        <v>13</v>
      </c>
      <c r="B14" s="26" t="s">
        <v>99</v>
      </c>
      <c r="C14" s="11" t="s">
        <v>119</v>
      </c>
      <c r="D14" s="11" t="s">
        <v>120</v>
      </c>
      <c r="E14" s="11" t="s">
        <v>121</v>
      </c>
      <c r="F14" s="25" t="s">
        <v>122</v>
      </c>
      <c r="G14" s="25" t="s">
        <v>80</v>
      </c>
      <c r="H14" s="25" t="n">
        <v>4</v>
      </c>
      <c r="I14" s="23"/>
      <c r="J14" s="23"/>
      <c r="K14" s="23"/>
    </row>
    <row r="15" customFormat="false" ht="29.85" hidden="false" customHeight="false" outlineLevel="0" collapsed="false">
      <c r="A15" s="25" t="n">
        <v>14</v>
      </c>
      <c r="B15" s="26" t="s">
        <v>99</v>
      </c>
      <c r="C15" s="11" t="s">
        <v>123</v>
      </c>
      <c r="D15" s="11" t="s">
        <v>124</v>
      </c>
      <c r="E15" s="11" t="s">
        <v>125</v>
      </c>
      <c r="F15" s="25" t="s">
        <v>126</v>
      </c>
      <c r="G15" s="25" t="s">
        <v>80</v>
      </c>
      <c r="H15" s="25" t="n">
        <v>4</v>
      </c>
      <c r="I15" s="23"/>
      <c r="J15" s="23"/>
      <c r="K15" s="23"/>
    </row>
    <row r="16" customFormat="false" ht="29.85" hidden="false" customHeight="false" outlineLevel="0" collapsed="false">
      <c r="A16" s="25" t="n">
        <v>15</v>
      </c>
      <c r="B16" s="26" t="s">
        <v>99</v>
      </c>
      <c r="C16" s="10" t="s">
        <v>127</v>
      </c>
      <c r="D16" s="10" t="s">
        <v>128</v>
      </c>
      <c r="E16" s="11" t="s">
        <v>129</v>
      </c>
      <c r="F16" s="25" t="s">
        <v>130</v>
      </c>
      <c r="G16" s="25" t="s">
        <v>80</v>
      </c>
      <c r="H16" s="25" t="n">
        <v>4</v>
      </c>
      <c r="I16" s="23"/>
      <c r="J16" s="23"/>
      <c r="K16" s="23"/>
    </row>
    <row r="17" customFormat="false" ht="29.85" hidden="false" customHeight="false" outlineLevel="0" collapsed="false">
      <c r="A17" s="25" t="n">
        <v>16</v>
      </c>
      <c r="B17" s="26" t="s">
        <v>99</v>
      </c>
      <c r="C17" s="10" t="s">
        <v>131</v>
      </c>
      <c r="D17" s="10" t="s">
        <v>132</v>
      </c>
      <c r="E17" s="11" t="s">
        <v>133</v>
      </c>
      <c r="F17" s="25" t="s">
        <v>134</v>
      </c>
      <c r="G17" s="25" t="s">
        <v>80</v>
      </c>
      <c r="H17" s="25" t="n">
        <v>5</v>
      </c>
      <c r="I17" s="23"/>
      <c r="J17" s="23"/>
      <c r="K17" s="23"/>
    </row>
    <row r="18" customFormat="false" ht="29.85" hidden="false" customHeight="false" outlineLevel="0" collapsed="false">
      <c r="A18" s="25" t="n">
        <v>17</v>
      </c>
      <c r="B18" s="26" t="s">
        <v>99</v>
      </c>
      <c r="C18" s="11" t="s">
        <v>135</v>
      </c>
      <c r="D18" s="11" t="s">
        <v>136</v>
      </c>
      <c r="E18" s="11" t="s">
        <v>137</v>
      </c>
      <c r="F18" s="25" t="s">
        <v>138</v>
      </c>
      <c r="G18" s="25" t="s">
        <v>80</v>
      </c>
      <c r="H18" s="25" t="n">
        <v>5</v>
      </c>
      <c r="I18" s="23"/>
      <c r="J18" s="23"/>
      <c r="K18" s="23"/>
    </row>
    <row r="19" customFormat="false" ht="29.85" hidden="false" customHeight="false" outlineLevel="0" collapsed="false">
      <c r="A19" s="25" t="n">
        <v>18</v>
      </c>
      <c r="B19" s="26" t="s">
        <v>99</v>
      </c>
      <c r="C19" s="10" t="s">
        <v>139</v>
      </c>
      <c r="D19" s="10" t="s">
        <v>140</v>
      </c>
      <c r="E19" s="11" t="s">
        <v>141</v>
      </c>
      <c r="F19" s="25" t="s">
        <v>142</v>
      </c>
      <c r="G19" s="25" t="s">
        <v>80</v>
      </c>
      <c r="H19" s="25" t="n">
        <v>5</v>
      </c>
      <c r="I19" s="23"/>
      <c r="J19" s="23"/>
      <c r="K19" s="23"/>
    </row>
    <row r="20" customFormat="false" ht="29.85" hidden="false" customHeight="false" outlineLevel="0" collapsed="false">
      <c r="A20" s="25" t="n">
        <v>19</v>
      </c>
      <c r="B20" s="26" t="s">
        <v>99</v>
      </c>
      <c r="C20" s="10" t="s">
        <v>143</v>
      </c>
      <c r="D20" s="10" t="s">
        <v>144</v>
      </c>
      <c r="E20" s="11" t="s">
        <v>145</v>
      </c>
      <c r="F20" s="25" t="s">
        <v>146</v>
      </c>
      <c r="G20" s="25" t="s">
        <v>80</v>
      </c>
      <c r="H20" s="25" t="n">
        <v>5</v>
      </c>
      <c r="I20" s="23"/>
      <c r="J20" s="23"/>
      <c r="K20" s="23"/>
    </row>
    <row r="21" customFormat="false" ht="15" hidden="false" customHeight="false" outlineLevel="0" collapsed="false">
      <c r="A21" s="25" t="n">
        <v>20</v>
      </c>
      <c r="B21" s="26" t="s">
        <v>99</v>
      </c>
      <c r="C21" s="11" t="s">
        <v>147</v>
      </c>
      <c r="D21" s="11" t="s">
        <v>148</v>
      </c>
      <c r="E21" s="11" t="s">
        <v>149</v>
      </c>
      <c r="F21" s="25" t="s">
        <v>150</v>
      </c>
      <c r="G21" s="25" t="s">
        <v>80</v>
      </c>
      <c r="H21" s="25" t="n">
        <v>6</v>
      </c>
      <c r="I21" s="23"/>
      <c r="J21" s="23"/>
      <c r="K21" s="23"/>
    </row>
    <row r="22" customFormat="false" ht="15" hidden="false" customHeight="false" outlineLevel="0" collapsed="false">
      <c r="A22" s="25" t="n">
        <v>21</v>
      </c>
      <c r="B22" s="26" t="s">
        <v>99</v>
      </c>
      <c r="C22" s="11" t="s">
        <v>151</v>
      </c>
      <c r="D22" s="11" t="s">
        <v>152</v>
      </c>
      <c r="E22" s="11" t="s">
        <v>153</v>
      </c>
      <c r="F22" s="25" t="s">
        <v>154</v>
      </c>
      <c r="G22" s="25" t="s">
        <v>80</v>
      </c>
      <c r="H22" s="25" t="n">
        <v>6</v>
      </c>
      <c r="I22" s="23"/>
      <c r="J22" s="23"/>
      <c r="K22" s="23"/>
    </row>
    <row r="23" customFormat="false" ht="29.85" hidden="false" customHeight="false" outlineLevel="0" collapsed="false">
      <c r="A23" s="25" t="n">
        <v>22</v>
      </c>
      <c r="B23" s="26" t="s">
        <v>99</v>
      </c>
      <c r="C23" s="10" t="s">
        <v>155</v>
      </c>
      <c r="D23" s="10" t="s">
        <v>156</v>
      </c>
      <c r="E23" s="11" t="s">
        <v>157</v>
      </c>
      <c r="F23" s="25" t="s">
        <v>158</v>
      </c>
      <c r="G23" s="25" t="s">
        <v>80</v>
      </c>
      <c r="H23" s="25" t="n">
        <v>6</v>
      </c>
      <c r="I23" s="23"/>
      <c r="J23" s="23"/>
      <c r="K23" s="23"/>
    </row>
    <row r="24" customFormat="false" ht="15" hidden="false" customHeight="false" outlineLevel="0" collapsed="false">
      <c r="A24" s="25" t="n">
        <v>23</v>
      </c>
      <c r="B24" s="26" t="s">
        <v>99</v>
      </c>
      <c r="C24" s="11" t="s">
        <v>159</v>
      </c>
      <c r="D24" s="11" t="s">
        <v>160</v>
      </c>
      <c r="E24" s="11" t="s">
        <v>161</v>
      </c>
      <c r="F24" s="25" t="s">
        <v>162</v>
      </c>
      <c r="G24" s="25" t="s">
        <v>80</v>
      </c>
      <c r="H24" s="25" t="n">
        <v>6</v>
      </c>
      <c r="I24" s="23"/>
      <c r="J24" s="23"/>
      <c r="K24" s="23"/>
    </row>
    <row r="25" customFormat="false" ht="29.85" hidden="false" customHeight="false" outlineLevel="0" collapsed="false">
      <c r="A25" s="25" t="n">
        <v>24</v>
      </c>
      <c r="B25" s="26" t="s">
        <v>99</v>
      </c>
      <c r="C25" s="11" t="s">
        <v>163</v>
      </c>
      <c r="D25" s="11" t="s">
        <v>164</v>
      </c>
      <c r="E25" s="11" t="s">
        <v>165</v>
      </c>
      <c r="F25" s="25" t="s">
        <v>126</v>
      </c>
      <c r="G25" s="25" t="s">
        <v>80</v>
      </c>
      <c r="H25" s="25" t="n">
        <v>7</v>
      </c>
      <c r="I25" s="23"/>
      <c r="J25" s="23"/>
      <c r="K25" s="23"/>
    </row>
    <row r="26" customFormat="false" ht="29.85" hidden="false" customHeight="false" outlineLevel="0" collapsed="false">
      <c r="A26" s="25" t="n">
        <v>25</v>
      </c>
      <c r="B26" s="26" t="s">
        <v>99</v>
      </c>
      <c r="C26" s="11" t="s">
        <v>166</v>
      </c>
      <c r="D26" s="11" t="s">
        <v>167</v>
      </c>
      <c r="E26" s="11" t="s">
        <v>168</v>
      </c>
      <c r="F26" s="25" t="s">
        <v>169</v>
      </c>
      <c r="G26" s="25" t="s">
        <v>80</v>
      </c>
      <c r="H26" s="25" t="n">
        <v>7</v>
      </c>
      <c r="I26" s="23"/>
      <c r="J26" s="23"/>
      <c r="K26" s="23"/>
    </row>
    <row r="27" customFormat="false" ht="15" hidden="false" customHeight="false" outlineLevel="0" collapsed="false">
      <c r="A27" s="25" t="n">
        <v>26</v>
      </c>
      <c r="B27" s="26" t="s">
        <v>99</v>
      </c>
      <c r="C27" s="11" t="s">
        <v>170</v>
      </c>
      <c r="D27" s="11" t="s">
        <v>171</v>
      </c>
      <c r="E27" s="11" t="s">
        <v>172</v>
      </c>
      <c r="F27" s="25" t="s">
        <v>173</v>
      </c>
      <c r="G27" s="25" t="s">
        <v>80</v>
      </c>
      <c r="H27" s="25" t="n">
        <v>7</v>
      </c>
      <c r="I27" s="23"/>
      <c r="J27" s="23"/>
      <c r="K27" s="23"/>
    </row>
    <row r="28" customFormat="false" ht="15" hidden="false" customHeight="false" outlineLevel="0" collapsed="false">
      <c r="A28" s="25" t="n">
        <v>27</v>
      </c>
      <c r="B28" s="26" t="s">
        <v>99</v>
      </c>
      <c r="C28" s="11" t="s">
        <v>174</v>
      </c>
      <c r="D28" s="11" t="s">
        <v>175</v>
      </c>
      <c r="E28" s="11" t="s">
        <v>176</v>
      </c>
      <c r="F28" s="25" t="s">
        <v>138</v>
      </c>
      <c r="G28" s="25" t="s">
        <v>80</v>
      </c>
      <c r="H28" s="25" t="n">
        <v>7</v>
      </c>
      <c r="I28" s="23"/>
      <c r="J28" s="23"/>
      <c r="K28" s="23"/>
    </row>
    <row r="29" customFormat="false" ht="29.85" hidden="false" customHeight="false" outlineLevel="0" collapsed="false">
      <c r="A29" s="25" t="n">
        <v>28</v>
      </c>
      <c r="B29" s="26" t="s">
        <v>99</v>
      </c>
      <c r="C29" s="11" t="s">
        <v>177</v>
      </c>
      <c r="D29" s="11" t="s">
        <v>178</v>
      </c>
      <c r="E29" s="11" t="s">
        <v>179</v>
      </c>
      <c r="F29" s="25" t="s">
        <v>180</v>
      </c>
      <c r="G29" s="25" t="s">
        <v>80</v>
      </c>
      <c r="H29" s="25" t="n">
        <v>8</v>
      </c>
      <c r="I29" s="23"/>
      <c r="J29" s="23"/>
      <c r="K29" s="23"/>
    </row>
    <row r="30" customFormat="false" ht="29.85" hidden="false" customHeight="false" outlineLevel="0" collapsed="false">
      <c r="A30" s="25" t="n">
        <v>29</v>
      </c>
      <c r="B30" s="26" t="s">
        <v>99</v>
      </c>
      <c r="C30" s="11" t="s">
        <v>181</v>
      </c>
      <c r="D30" s="11" t="s">
        <v>182</v>
      </c>
      <c r="E30" s="11" t="s">
        <v>183</v>
      </c>
      <c r="F30" s="25" t="s">
        <v>184</v>
      </c>
      <c r="G30" s="25" t="s">
        <v>80</v>
      </c>
      <c r="H30" s="25" t="n">
        <v>8</v>
      </c>
      <c r="I30" s="23"/>
      <c r="J30" s="23"/>
      <c r="K30" s="23"/>
    </row>
    <row r="31" customFormat="false" ht="29.85" hidden="false" customHeight="false" outlineLevel="0" collapsed="false">
      <c r="A31" s="25" t="n">
        <v>30</v>
      </c>
      <c r="B31" s="26" t="s">
        <v>99</v>
      </c>
      <c r="C31" s="11" t="s">
        <v>185</v>
      </c>
      <c r="D31" s="11" t="s">
        <v>186</v>
      </c>
      <c r="E31" s="11" t="s">
        <v>187</v>
      </c>
      <c r="F31" s="25" t="s">
        <v>150</v>
      </c>
      <c r="G31" s="25" t="s">
        <v>80</v>
      </c>
      <c r="H31" s="25" t="n">
        <v>8</v>
      </c>
      <c r="I31" s="23"/>
      <c r="J31" s="23"/>
      <c r="K31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4"/>
  </cols>
  <sheetData>
    <row r="1" customFormat="false" ht="19.4" hidden="false" customHeight="false" outlineLevel="0" collapsed="false">
      <c r="A1" s="27" t="s">
        <v>188</v>
      </c>
    </row>
    <row r="3" customFormat="false" ht="15" hidden="false" customHeight="false" outlineLevel="0" collapsed="false">
      <c r="A3" s="28" t="s">
        <v>189</v>
      </c>
      <c r="B3" s="28" t="s">
        <v>190</v>
      </c>
      <c r="C3" s="28" t="s">
        <v>191</v>
      </c>
      <c r="D3" s="28" t="s">
        <v>192</v>
      </c>
    </row>
    <row r="4" customFormat="false" ht="15" hidden="false" customHeight="false" outlineLevel="0" collapsed="false">
      <c r="A4" s="29" t="s">
        <v>193</v>
      </c>
      <c r="B4" s="25" t="n">
        <v>30</v>
      </c>
      <c r="C4" s="25" t="n">
        <f aca="false">COUNTA(構成表!A2:A31)</f>
        <v>30</v>
      </c>
      <c r="D4" s="14" t="str">
        <f aca="false">IF(C4&gt;=B4,"OK","要修正")</f>
        <v>OK</v>
      </c>
    </row>
    <row r="5" customFormat="false" ht="15" hidden="false" customHeight="false" outlineLevel="0" collapsed="false">
      <c r="A5" s="29" t="s">
        <v>19</v>
      </c>
      <c r="B5" s="25" t="n">
        <v>7</v>
      </c>
      <c r="C5" s="25" t="n">
        <f aca="false">COUNTIF(構成表!B2:B31,"収益")</f>
        <v>7</v>
      </c>
      <c r="D5" s="14" t="str">
        <f aca="false">IF(C5&gt;=B5,"OK","要修正")</f>
        <v>OK</v>
      </c>
    </row>
    <row r="6" customFormat="false" ht="15" hidden="false" customHeight="false" outlineLevel="0" collapsed="false">
      <c r="A6" s="29" t="s">
        <v>194</v>
      </c>
      <c r="B6" s="25" t="n">
        <v>23</v>
      </c>
      <c r="C6" s="25" t="n">
        <f aca="false">COUNTIF(構成表!B2:B31,"集客")</f>
        <v>23</v>
      </c>
      <c r="D6" s="14" t="str">
        <f aca="false">IF(C6&gt;=B6,"OK","要修正")</f>
        <v>OK</v>
      </c>
    </row>
    <row r="7" customFormat="false" ht="15" hidden="false" customHeight="false" outlineLevel="0" collapsed="false">
      <c r="A7" s="29" t="s">
        <v>195</v>
      </c>
      <c r="B7" s="25" t="n">
        <v>3</v>
      </c>
      <c r="C7" s="25" t="n">
        <f aca="false">SUMPRODUCT(--ISNUMBER(SEARCH(",1,",","&amp;構成表!F9:F31&amp;",")))</f>
        <v>6</v>
      </c>
      <c r="D7" s="14" t="str">
        <f aca="false">IF(C7&gt;=B7,"OK","要修正")</f>
        <v>OK</v>
      </c>
    </row>
    <row r="8" customFormat="false" ht="15" hidden="false" customHeight="false" outlineLevel="0" collapsed="false">
      <c r="A8" s="29" t="s">
        <v>196</v>
      </c>
      <c r="B8" s="25" t="n">
        <v>3</v>
      </c>
      <c r="C8" s="25" t="n">
        <f aca="false">SUMPRODUCT(--ISNUMBER(SEARCH(",2,",","&amp;構成表!F9:F31&amp;",")))</f>
        <v>3</v>
      </c>
      <c r="D8" s="14" t="str">
        <f aca="false">IF(C8&gt;=B8,"OK","要修正")</f>
        <v>OK</v>
      </c>
    </row>
    <row r="9" customFormat="false" ht="15" hidden="false" customHeight="false" outlineLevel="0" collapsed="false">
      <c r="A9" s="29" t="s">
        <v>197</v>
      </c>
      <c r="B9" s="25" t="n">
        <v>3</v>
      </c>
      <c r="C9" s="25" t="n">
        <f aca="false">SUMPRODUCT(--ISNUMBER(SEARCH(",3,",","&amp;構成表!F9:F31&amp;",")))</f>
        <v>5</v>
      </c>
      <c r="D9" s="14" t="str">
        <f aca="false">IF(C9&gt;=B9,"OK","要修正")</f>
        <v>OK</v>
      </c>
    </row>
    <row r="10" customFormat="false" ht="15" hidden="false" customHeight="false" outlineLevel="0" collapsed="false">
      <c r="A10" s="29" t="s">
        <v>198</v>
      </c>
      <c r="B10" s="25" t="n">
        <v>3</v>
      </c>
      <c r="C10" s="25" t="n">
        <f aca="false">SUMPRODUCT(--ISNUMBER(SEARCH(",4,",","&amp;構成表!F9:F31&amp;",")))</f>
        <v>6</v>
      </c>
      <c r="D10" s="14" t="str">
        <f aca="false">IF(C10&gt;=B10,"OK","要修正")</f>
        <v>OK</v>
      </c>
    </row>
    <row r="11" customFormat="false" ht="15" hidden="false" customHeight="false" outlineLevel="0" collapsed="false">
      <c r="A11" s="29" t="s">
        <v>199</v>
      </c>
      <c r="B11" s="25" t="n">
        <v>3</v>
      </c>
      <c r="C11" s="25" t="n">
        <f aca="false">SUMPRODUCT(--ISNUMBER(SEARCH(",5,",","&amp;構成表!F9:F31&amp;",")))</f>
        <v>5</v>
      </c>
      <c r="D11" s="14" t="str">
        <f aca="false">IF(C11&gt;=B11,"OK","要修正")</f>
        <v>OK</v>
      </c>
    </row>
    <row r="12" customFormat="false" ht="15" hidden="false" customHeight="false" outlineLevel="0" collapsed="false">
      <c r="A12" s="29" t="s">
        <v>200</v>
      </c>
      <c r="B12" s="25" t="n">
        <v>3</v>
      </c>
      <c r="C12" s="25" t="n">
        <f aca="false">SUMPRODUCT(--ISNUMBER(SEARCH(",6,",","&amp;構成表!F9:F31&amp;",")))</f>
        <v>4</v>
      </c>
      <c r="D12" s="14" t="str">
        <f aca="false">IF(C12&gt;=B12,"OK","要修正")</f>
        <v>OK</v>
      </c>
    </row>
    <row r="13" customFormat="false" ht="15" hidden="false" customHeight="false" outlineLevel="0" collapsed="false">
      <c r="A13" s="29" t="s">
        <v>201</v>
      </c>
      <c r="B13" s="25" t="n">
        <v>3</v>
      </c>
      <c r="C13" s="25" t="n">
        <f aca="false">SUMPRODUCT(--ISNUMBER(SEARCH(",7,",","&amp;構成表!F9:F31&amp;",")))</f>
        <v>10</v>
      </c>
      <c r="D13" s="14" t="str">
        <f aca="false">IF(C13&gt;=B13,"OK","要修正")</f>
        <v>OK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7" t="s">
        <v>202</v>
      </c>
    </row>
    <row r="17" customFormat="false" ht="15" hidden="false" customHeight="false" outlineLevel="0" collapsed="false">
      <c r="A17" s="3" t="s">
        <v>203</v>
      </c>
    </row>
    <row r="18" customFormat="false" ht="15" hidden="false" customHeight="false" outlineLevel="0" collapsed="false">
      <c r="A18" s="3" t="s">
        <v>204</v>
      </c>
    </row>
    <row r="19" customFormat="false" ht="15" hidden="false" customHeight="false" outlineLevel="0" collapsed="false">
      <c r="A19" s="3" t="s">
        <v>205</v>
      </c>
    </row>
    <row r="20" customFormat="false" ht="15" hidden="false" customHeight="false" outlineLevel="0" collapsed="false">
      <c r="A20" s="3" t="s">
        <v>206</v>
      </c>
    </row>
    <row r="21" customFormat="false" ht="15" hidden="false" customHeight="false" outlineLevel="0" collapsed="false">
      <c r="A21" s="3" t="s">
        <v>207</v>
      </c>
    </row>
    <row r="22" customFormat="false" ht="15" hidden="false" customHeight="false" outlineLevel="0" collapsed="false">
      <c r="A22" s="3" t="s">
        <v>208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4" t="s">
        <v>209</v>
      </c>
    </row>
    <row r="25" customFormat="false" ht="15" hidden="false" customHeight="false" outlineLevel="0" collapsed="false">
      <c r="A25" s="6" t="s">
        <v>210</v>
      </c>
    </row>
    <row r="26" customFormat="false" ht="15" hidden="false" customHeight="false" outlineLevel="0" collapsed="false">
      <c r="A26" s="6" t="s">
        <v>211</v>
      </c>
    </row>
    <row r="27" customFormat="false" ht="15" hidden="false" customHeight="false" outlineLevel="0" collapsed="false">
      <c r="A27" s="6" t="s">
        <v>212</v>
      </c>
    </row>
    <row r="28" customFormat="false" ht="15" hidden="false" customHeight="false" outlineLevel="0" collapsed="false">
      <c r="A28" s="6" t="s">
        <v>213</v>
      </c>
    </row>
    <row r="29" customFormat="false" ht="15" hidden="false" customHeight="false" outlineLevel="0" collapsed="false">
      <c r="A29" s="6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2026-08-05T15:04:26Z</dcterms:created>
  <dc:creator>openpyxl</dc:creator>
  <dc:description/>
  <dc:language>en-US</dc:language>
  <cp:lastModifiedBy/>
  <dcterms:modified xsi:type="dcterms:W3CDTF">2026-08-05T15:04:26Z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